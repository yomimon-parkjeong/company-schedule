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9c54dec0824d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전달용_개인" sheetId="1" r:id="R5f17b650c38646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%"/>
    <x:numFmt numFmtId="202" formatCode="0%"/>
    <x:numFmt numFmtId="203" formatCode="[=0]&quot;미적용&quot;;[=1]&quot;적용&quot;;General"/>
    <x:numFmt numFmtId="204" formatCode="#,##0.00"/>
  </x:numFmts>
  <x:fonts count="12">
    <x:font>
      <x:sz val="11"/>
      <x:name val="Carlito"/>
    </x:font>
    <x:font>
      <x:sz val="10"/>
      <x:color rgb="FF243447"/>
      <x:name val="Arial"/>
    </x:font>
    <x:font>
      <x:b/>
      <x:sz val="10"/>
      <x:color rgb="FFFFFFFF"/>
      <x:name val="Arial"/>
    </x:font>
    <x:font>
      <x:b/>
      <x:sz val="10"/>
      <x:color rgb="FF203B59"/>
      <x:name val="Arial"/>
    </x:font>
    <x:font>
      <x:b/>
      <x:sz val="12"/>
      <x:color rgb="FF203B59"/>
      <x:name val="Arial"/>
    </x:font>
    <x:font>
      <x:sz val="9"/>
      <x:color rgb="FF526175"/>
      <x:name val="Arial"/>
    </x:font>
    <x:font>
      <x:sz val="10"/>
      <x:color rgb="FFB42318"/>
      <x:name val="Arial"/>
    </x:font>
    <x:font>
      <x:sz val="10"/>
      <x:color rgb="FF526175"/>
      <x:name val="Arial"/>
    </x:font>
    <x:font>
      <x:b/>
      <x:sz val="10"/>
      <x:color rgb="FF526175"/>
      <x:name val="Arial"/>
    </x:font>
    <x:font>
      <x:sz val="10"/>
      <x:color rgb="FF1D4ED8"/>
      <x:name val="Arial"/>
    </x:font>
    <x:font>
      <x:b/>
      <x:sz val="12"/>
      <x:color rgb="FF146344"/>
      <x:name val="Arial"/>
    </x:font>
    <x:font>
      <x:sz val="10"/>
      <x:color rgb="FF6B7280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203B59"/>
      </x:patternFill>
    </x:fill>
    <x:fill>
      <x:patternFill patternType="solid">
        <x:fgColor rgb="FFE6EDF5"/>
      </x:patternFill>
    </x:fill>
    <x:fill>
      <x:patternFill patternType="solid">
        <x:fgColor rgb="FFF0F5FA"/>
      </x:patternFill>
    </x:fill>
    <x:fill>
      <x:patternFill patternType="solid">
        <x:fgColor rgb="FFFFF3CD"/>
      </x:patternFill>
    </x:fill>
    <x:fill>
      <x:patternFill patternType="solid">
        <x:fgColor rgb="FFF7F9FC"/>
      </x:patternFill>
    </x:fill>
    <x:fill>
      <x:patternFill patternType="solid">
        <x:fgColor rgb="FFEDF2F7"/>
      </x:patternFill>
    </x:fill>
    <x:fill>
      <x:patternFill patternType="solid">
        <x:fgColor rgb="FFEDF4FF"/>
      </x:patternFill>
    </x:fill>
    <x:fill>
      <x:patternFill patternType="solid">
        <x:fgColor rgb="FFE2F0E9"/>
      </x:patternFill>
    </x:fill>
    <x:fill>
      <x:patternFill patternType="solid">
        <x:fgColor rgb="FFE5E7EB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medium">
        <x:color rgb="FF203B59"/>
      </x:bottom>
      <x:diagonal/>
    </x:border>
    <x:border>
      <x:left/>
      <x:right style="thin">
        <x:color rgb="FFEBEFF4"/>
      </x:right>
      <x:top/>
      <x:bottom/>
      <x:diagonal/>
    </x:border>
    <x:border>
      <x:left/>
      <x:right/>
      <x:top/>
      <x:bottom style="thin">
        <x:color rgb="FFD8E1EB"/>
      </x:bottom>
      <x:diagonal/>
    </x:border>
    <x:border>
      <x:left/>
      <x:right style="thin">
        <x:color rgb="FFEBEFF4"/>
      </x:right>
      <x:top/>
      <x:bottom style="thin">
        <x:color rgb="FFD8E1EB"/>
      </x:bottom>
      <x:diagonal/>
    </x:border>
    <x:border>
      <x:left/>
      <x:right/>
      <x:top style="medium">
        <x:color rgb="FF93A8BF"/>
      </x:top>
      <x:bottom style="thin">
        <x:color rgb="FFD8E1EB"/>
      </x:bottom>
      <x:diagonal/>
    </x:border>
    <x:border>
      <x:left/>
      <x:right style="thin">
        <x:color rgb="FFD8E1EB"/>
      </x:right>
      <x:top/>
      <x:bottom/>
      <x:diagonal/>
    </x:border>
    <x:border>
      <x:left/>
      <x:right style="thin">
        <x:color rgb="FFD8E1EB"/>
      </x:right>
      <x:top/>
      <x:bottom style="thin">
        <x:color rgb="FFD8E1EB"/>
      </x:bottom>
      <x:diagonal/>
    </x:border>
    <x:border>
      <x:left/>
      <x:right/>
      <x:top style="medium">
        <x:color rgb="FF6FA58C"/>
      </x:top>
      <x:bottom style="medium">
        <x:color rgb="FF6FA58C"/>
      </x:bottom>
      <x:diagonal/>
    </x:border>
    <x:border>
      <x:left/>
      <x:right style="thin">
        <x:color rgb="FFD8E1EB"/>
      </x:right>
      <x:top style="medium">
        <x:color rgb="FF6FA58C"/>
      </x:top>
      <x:bottom style="medium">
        <x:color rgb="FF6FA58C"/>
      </x:bottom>
      <x:diagonal/>
    </x:border>
  </x:borders>
  <x:cellStyleXfs count="1">
    <x:xf numFmtId="0" fontId="0" fillId="0" borderId="0"/>
  </x:cellStyleXfs>
  <x:cellXfs count="10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0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0" fontId="1" fillId="0" borderId="3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0" borderId="3" xfId="0" applyNumberFormat="1" applyFont="1" applyFill="1" applyBorder="1" applyAlignment="1">
      <x:alignment horizontal="center" vertical="center" wrapText="1"/>
    </x:xf>
    <x:xf numFmtId="200" fontId="1" fillId="0" borderId="3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200" fontId="3" fillId="3" borderId="0" xfId="0" applyNumberFormat="1" applyFont="1" applyFill="1" applyBorder="1" applyAlignment="1">
      <x:alignment vertical="center" wrapText="1"/>
    </x:xf>
    <x:xf numFmtId="0" fontId="3" fillId="3" borderId="5" xfId="0" applyNumberFormat="1" applyFont="1" applyFill="1" applyBorder="1" applyAlignment="1">
      <x:alignment vertical="center" wrapText="1"/>
    </x:xf>
    <x:xf numFmtId="200" fontId="3" fillId="3" borderId="5" xfId="0" applyNumberFormat="1" applyFont="1" applyFill="1" applyBorder="1" applyAlignment="1">
      <x:alignment vertical="center" wrapText="1"/>
    </x:xf>
    <x:xf numFmtId="200" fontId="3" fillId="3" borderId="5" xfId="0" applyNumberFormat="1" applyFont="1" applyFill="1" applyBorder="1" applyAlignment="1">
      <x:alignment horizontal="right"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0" fontId="1" fillId="4" borderId="6" xfId="0" applyNumberFormat="1" applyFont="1" applyFill="1" applyBorder="1" applyAlignment="1">
      <x:alignment vertical="center" wrapText="1"/>
    </x:xf>
    <x:xf numFmtId="200" fontId="1" fillId="4" borderId="3" xfId="0" applyNumberFormat="1" applyFont="1" applyFill="1" applyBorder="1" applyAlignment="1">
      <x:alignment vertical="center" wrapText="1"/>
    </x:xf>
    <x:xf numFmtId="200" fontId="1" fillId="4" borderId="7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1" fillId="4" borderId="6" xfId="0" applyNumberFormat="1" applyFont="1" applyFill="1" applyBorder="1" applyAlignment="1">
      <x:alignment horizontal="center" vertical="center" wrapText="1"/>
    </x:xf>
    <x:xf numFmtId="200" fontId="1" fillId="4" borderId="3" xfId="0" applyNumberFormat="1" applyFont="1" applyFill="1" applyBorder="1" applyAlignment="1">
      <x:alignment horizontal="center" vertical="center" wrapText="1"/>
    </x:xf>
    <x:xf numFmtId="200" fontId="1" fillId="4" borderId="7" xfId="0" applyNumberFormat="1" applyFont="1" applyFill="1" applyBorder="1" applyAlignment="1">
      <x:alignment horizontal="center" vertical="center" wrapText="1"/>
    </x:xf>
    <x:xf numFmtId="200" fontId="4" fillId="4" borderId="3" xfId="0" applyNumberFormat="1" applyFont="1" applyFill="1" applyBorder="1" applyAlignment="1">
      <x:alignment horizontal="center" vertical="center" wrapText="1"/>
    </x:xf>
    <x:xf numFmtId="200" fontId="4" fillId="4" borderId="7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0" fontId="1" fillId="0" borderId="6" xfId="0" applyNumberFormat="1" applyFont="1" applyFill="1" applyBorder="1" applyAlignment="1">
      <x:alignment vertical="center" wrapText="1"/>
    </x:xf>
    <x:xf numFmtId="200" fontId="1" fillId="0" borderId="3" xfId="0" applyNumberFormat="1" applyFont="1" applyFill="1" applyBorder="1" applyAlignment="1">
      <x:alignment vertical="center" wrapText="1"/>
    </x:xf>
    <x:xf numFmtId="200" fontId="1" fillId="0" borderId="7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0" fontId="1" fillId="5" borderId="6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200" fontId="6" fillId="5" borderId="0" xfId="0" applyNumberFormat="1" applyFont="1" applyFill="1" applyBorder="1" applyAlignment="1">
      <x:alignment vertical="center" wrapText="1"/>
    </x:xf>
    <x:xf numFmtId="200" fontId="6" fillId="5" borderId="6" xfId="0" applyNumberFormat="1" applyFont="1" applyFill="1" applyBorder="1" applyAlignment="1">
      <x:alignment vertical="center" wrapText="1"/>
    </x:xf>
    <x:xf numFmtId="200" fontId="1" fillId="4" borderId="6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200" fontId="3" fillId="4" borderId="0" xfId="0" applyNumberFormat="1" applyFont="1" applyFill="1" applyBorder="1" applyAlignment="1">
      <x:alignment vertical="center" wrapText="1"/>
    </x:xf>
    <x:xf numFmtId="200" fontId="3" fillId="4" borderId="6" xfId="0" applyNumberFormat="1" applyFont="1" applyFill="1" applyBorder="1" applyAlignment="1">
      <x:alignment vertical="center" wrapText="1"/>
    </x:xf>
    <x:xf numFmtId="200" fontId="1" fillId="0" borderId="6" xfId="0" applyNumberFormat="1" applyFont="1" applyFill="1" applyBorder="1" applyAlignment="1">
      <x:alignment horizontal="right" vertical="center" wrapText="1"/>
    </x:xf>
    <x:xf numFmtId="200" fontId="6" fillId="5" borderId="0" xfId="0" applyNumberFormat="1" applyFont="1" applyFill="1" applyBorder="1" applyAlignment="1">
      <x:alignment horizontal="right" vertical="center" wrapText="1"/>
    </x:xf>
    <x:xf numFmtId="200" fontId="6" fillId="5" borderId="6" xfId="0" applyNumberFormat="1" applyFont="1" applyFill="1" applyBorder="1" applyAlignment="1">
      <x:alignment horizontal="right" vertical="center" wrapText="1"/>
    </x:xf>
    <x:xf numFmtId="200" fontId="3" fillId="4" borderId="0" xfId="0" applyNumberFormat="1" applyFont="1" applyFill="1" applyBorder="1" applyAlignment="1">
      <x:alignment horizontal="right" vertical="center" wrapText="1"/>
    </x:xf>
    <x:xf numFmtId="200" fontId="3" fillId="4" borderId="6" xfId="0" applyNumberFormat="1" applyFont="1" applyFill="1" applyBorder="1" applyAlignment="1">
      <x:alignment horizontal="right" vertical="center" wrapText="1"/>
    </x:xf>
    <x:xf numFmtId="201" fontId="1" fillId="0" borderId="0" xfId="0" applyNumberFormat="1" applyFont="1" applyFill="1" applyBorder="1" applyAlignment="1">
      <x:alignment horizontal="right" vertical="center" wrapText="1"/>
    </x:xf>
    <x:xf numFmtId="200" fontId="1" fillId="0" borderId="7" xfId="0" applyNumberFormat="1" applyFont="1" applyFill="1" applyBorder="1" applyAlignment="1">
      <x:alignment horizontal="right"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 wrapText="1"/>
    </x:xf>
    <x:xf numFmtId="0" fontId="7" fillId="6" borderId="6" xfId="0" applyNumberFormat="1" applyFont="1" applyFill="1" applyBorder="1" applyAlignment="1">
      <x:alignment vertical="center" wrapText="1"/>
    </x:xf>
    <x:xf numFmtId="0" fontId="7" fillId="6" borderId="3" xfId="0" applyNumberFormat="1" applyFont="1" applyFill="1" applyBorder="1" applyAlignment="1">
      <x:alignment vertical="center" wrapText="1"/>
    </x:xf>
    <x:xf numFmtId="0" fontId="7" fillId="6" borderId="7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3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3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2" fontId="1" fillId="8" borderId="0" xfId="0" applyNumberFormat="1" applyFont="1" applyFill="1" applyBorder="1" applyAlignment="1">
      <x:alignment vertical="center" wrapText="1"/>
    </x:xf>
    <x:xf numFmtId="203" fontId="1" fillId="8" borderId="0" xfId="0" applyNumberFormat="1" applyFont="1" applyFill="1" applyBorder="1" applyAlignment="1">
      <x:alignment vertical="center" wrapText="1"/>
    </x:xf>
    <x:xf numFmtId="0" fontId="9" fillId="8" borderId="0" xfId="0" applyNumberFormat="1" applyFont="1" applyFill="1" applyBorder="1" applyAlignment="1">
      <x:alignment vertical="center" wrapText="1"/>
    </x:xf>
    <x:xf numFmtId="202" fontId="9" fillId="8" borderId="0" xfId="0" applyNumberFormat="1" applyFont="1" applyFill="1" applyBorder="1" applyAlignment="1">
      <x:alignment vertical="center" wrapText="1"/>
    </x:xf>
    <x:xf numFmtId="203" fontId="9" fillId="8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0" fontId="2" fillId="2" borderId="0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200" fontId="2" fillId="2" borderId="3" xfId="0" applyNumberFormat="1" applyFont="1" applyFill="1" applyBorder="1" applyAlignment="1">
      <x:alignment vertical="center" wrapText="1"/>
    </x:xf>
    <x:xf numFmtId="0" fontId="1" fillId="9" borderId="3" xfId="0" applyNumberFormat="1" applyFont="1" applyFill="1" applyBorder="1" applyAlignment="1">
      <x:alignment vertical="center" wrapText="1"/>
    </x:xf>
    <x:xf numFmtId="200" fontId="1" fillId="9" borderId="3" xfId="0" applyNumberFormat="1" applyFont="1" applyFill="1" applyBorder="1" applyAlignment="1">
      <x:alignment horizontal="right" vertical="center" wrapText="1"/>
    </x:xf>
    <x:xf numFmtId="200" fontId="1" fillId="9" borderId="7" xfId="0" applyNumberFormat="1" applyFont="1" applyFill="1" applyBorder="1" applyAlignment="1">
      <x:alignment horizontal="right" vertical="center" wrapText="1"/>
    </x:xf>
    <x:xf numFmtId="0" fontId="10" fillId="9" borderId="3" xfId="0" applyNumberFormat="1" applyFont="1" applyFill="1" applyBorder="1" applyAlignment="1">
      <x:alignment vertical="center" wrapText="1"/>
    </x:xf>
    <x:xf numFmtId="200" fontId="10" fillId="9" borderId="3" xfId="0" applyNumberFormat="1" applyFont="1" applyFill="1" applyBorder="1" applyAlignment="1">
      <x:alignment horizontal="right" vertical="center" wrapText="1"/>
    </x:xf>
    <x:xf numFmtId="200" fontId="10" fillId="9" borderId="7" xfId="0" applyNumberFormat="1" applyFont="1" applyFill="1" applyBorder="1" applyAlignment="1">
      <x:alignment horizontal="right" vertical="center" wrapText="1"/>
    </x:xf>
    <x:xf numFmtId="0" fontId="10" fillId="9" borderId="8" xfId="0" applyNumberFormat="1" applyFont="1" applyFill="1" applyBorder="1" applyAlignment="1">
      <x:alignment vertical="center" wrapText="1"/>
    </x:xf>
    <x:xf numFmtId="200" fontId="10" fillId="9" borderId="8" xfId="0" applyNumberFormat="1" applyFont="1" applyFill="1" applyBorder="1" applyAlignment="1">
      <x:alignment horizontal="right" vertical="center" wrapText="1"/>
    </x:xf>
    <x:xf numFmtId="200" fontId="10" fillId="9" borderId="9" xfId="0" applyNumberFormat="1" applyFont="1" applyFill="1" applyBorder="1" applyAlignment="1">
      <x:alignment horizontal="right" vertical="center" wrapText="1"/>
    </x:xf>
    <x:xf numFmtId="0" fontId="0" fillId="10" borderId="0" xfId="0" applyNumberFormat="1" applyFont="1" applyFill="1" applyBorder="1"/>
    <x:xf numFmtId="0" fontId="11" fillId="10" borderId="0" xfId="0" applyNumberFormat="1" applyFont="1" applyFill="1" applyBorder="1"/>
    <x:xf numFmtId="0" fontId="11" fillId="10" borderId="3" xfId="0" applyNumberFormat="1" applyFont="1" applyFill="1" applyBorder="1"/>
    <x:xf numFmtId="0" fontId="11" fillId="10" borderId="3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  <x:xf numFmtId="204" fontId="0" fillId="0" borderId="7" xfId="0" applyNumberFormat="1" applyFont="1" applyFill="1" applyBorder="1"/>
    <x:xf numFmtId="204" fontId="0" fillId="9" borderId="0" xfId="0" applyNumberFormat="1" applyFont="1" applyFill="1" applyBorder="1"/>
    <x:xf numFmtId="204" fontId="10" fillId="9" borderId="0" xfId="0" applyNumberFormat="1" applyFont="1" applyFill="1" applyBorder="1"/>
    <x:xf numFmtId="204" fontId="10" fillId="9" borderId="9" xfId="0" applyNumberFormat="1" applyFont="1" applyFill="1" applyBorder="1"/>
    <x:xf numFmtId="204" fontId="10" fillId="9" borderId="9" xfId="0" applyNumberFormat="1" applyFont="1" applyFill="1" applyBorder="1" applyAlignment="1">
      <x:alignment horizontal="right"/>
    </x:xf>
  </x:cellXfs>
  <x:cellStyles count="1">
    <x:cellStyle name="Normal" xfId="0"/>
  </x:cellStyles>
  <x:dxfs count="1">
    <x:dxf>
      <x:font>
        <x:color rgb="FFB42318"/>
      </x:font>
      <x:fill>
        <x:patternFill patternType="solid">
          <x:bgColor rgb="FFFFF3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297ad7c0843b6" /><Relationship Type="http://schemas.openxmlformats.org/officeDocument/2006/relationships/theme" Target="/xl/theme/theme1.xml" Id="Raa7d4800fa0044bb" /><Relationship Type="http://schemas.openxmlformats.org/officeDocument/2006/relationships/sharedStrings" Target="/xl/sharedStrings.xml" Id="Ra328691fa8524c5b" /><Relationship Type="http://schemas.openxmlformats.org/officeDocument/2006/relationships/worksheet" Target="/xl/worksheets/sheet1.xml" Id="R5f17b650c38646b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3" hidden="0" customWidth="1"/>
    <x:col min="3" max="3" width="64" hidden="0" customWidth="1"/>
    <x:col min="4" max="4" width="10" hidden="0" customWidth="1"/>
    <x:col min="5" max="5" width="18" hidden="0" customWidth="1"/>
    <x:col min="6" max="6" width="14" hidden="0" customWidth="1"/>
    <x:col min="7" max="7" width="26" hidden="0" customWidth="1"/>
    <x:col min="8" max="8" width="24" hidden="0" customWidth="1"/>
    <x:col min="9" max="9" width="38" hidden="0" customWidth="1"/>
  </x:cols>
  <x:sheetData>
    <x:row r="1" ht="30" customHeight="1">
      <x:c r="A1" s="7" t="str">
        <x:v>번호</x:v>
      </x:c>
      <x:c r="B1" s="7" t="str">
        <x:v>주문일자</x:v>
      </x:c>
      <x:c r="C1" s="7" t="str">
        <x:v>상품명</x:v>
      </x:c>
      <x:c r="D1" s="7" t="str">
        <x:v>수량</x:v>
      </x:c>
      <x:c r="E1" s="7" t="str">
        <x:v>판매가</x:v>
      </x:c>
      <x:c r="F1" s="7" t="str">
        <x:v>구매자</x:v>
      </x:c>
      <x:c r="G1" s="7" t="str">
        <x:v>주문번호</x:v>
      </x:c>
      <x:c r="H1" s="7" t="str">
        <x:v>처리현황</x:v>
      </x:c>
      <x:c r="I1" s="7" t="str">
        <x:v>택배사/송장번호</x:v>
      </x:c>
    </x:row>
    <x:row r="2" ht="28" customHeight="1">
      <x:c r="A2" s="11"/>
      <x:c r="B2" s="11"/>
      <x:c r="C2" s="3"/>
      <x:c r="D2" s="15"/>
      <x:c r="E2" s="16"/>
      <x:c r="F2" s="11"/>
      <x:c r="G2" s="11"/>
      <x:c r="H2" s="11"/>
      <x:c r="I2" s="8"/>
    </x:row>
    <x:row r="3" ht="28" customHeight="1">
      <x:c r="A3" s="11"/>
      <x:c r="B3" s="11"/>
      <x:c r="C3" s="3"/>
      <x:c r="D3" s="15"/>
      <x:c r="E3" s="16"/>
      <x:c r="F3" s="11"/>
      <x:c r="G3" s="11"/>
      <x:c r="H3" s="11"/>
      <x:c r="I3" s="8"/>
    </x:row>
    <x:row r="4" ht="28" customHeight="1">
      <x:c r="A4" s="11"/>
      <x:c r="B4" s="11"/>
      <x:c r="C4" s="3"/>
      <x:c r="D4" s="15"/>
      <x:c r="E4" s="16"/>
      <x:c r="F4" s="11"/>
      <x:c r="G4" s="11"/>
      <x:c r="H4" s="11"/>
      <x:c r="I4" s="8"/>
    </x:row>
    <x:row r="5" ht="28" customHeight="1">
      <x:c r="A5" s="11"/>
      <x:c r="B5" s="11"/>
      <x:c r="C5" s="3"/>
      <x:c r="D5" s="15"/>
      <x:c r="E5" s="16"/>
      <x:c r="F5" s="11"/>
      <x:c r="G5" s="11"/>
      <x:c r="H5" s="11"/>
      <x:c r="I5" s="8"/>
    </x:row>
    <x:row r="6" ht="28" customHeight="1">
      <x:c r="A6" s="11"/>
      <x:c r="B6" s="11"/>
      <x:c r="C6" s="3"/>
      <x:c r="D6" s="15"/>
      <x:c r="E6" s="16"/>
      <x:c r="F6" s="11"/>
      <x:c r="G6" s="11"/>
      <x:c r="H6" s="11"/>
      <x:c r="I6" s="8"/>
    </x:row>
    <x:row r="7" ht="28" customHeight="1">
      <x:c r="A7" s="11"/>
      <x:c r="B7" s="11"/>
      <x:c r="C7" s="3"/>
      <x:c r="D7" s="15"/>
      <x:c r="E7" s="16"/>
      <x:c r="F7" s="11"/>
      <x:c r="G7" s="11"/>
      <x:c r="H7" s="11"/>
      <x:c r="I7" s="8"/>
    </x:row>
    <x:row r="8" ht="28" customHeight="1">
      <x:c r="A8" s="11"/>
      <x:c r="B8" s="11"/>
      <x:c r="C8" s="3"/>
      <x:c r="D8" s="15"/>
      <x:c r="E8" s="16"/>
      <x:c r="F8" s="11"/>
      <x:c r="G8" s="11"/>
      <x:c r="H8" s="11"/>
      <x:c r="I8" s="8"/>
    </x:row>
    <x:row r="9" ht="28" customHeight="1">
      <x:c r="A9" s="11"/>
      <x:c r="B9" s="11"/>
      <x:c r="C9" s="3"/>
      <x:c r="D9" s="15"/>
      <x:c r="E9" s="16"/>
      <x:c r="F9" s="11"/>
      <x:c r="G9" s="11"/>
      <x:c r="H9" s="11"/>
      <x:c r="I9" s="8"/>
    </x:row>
    <x:row r="10" ht="28" customHeight="1">
      <x:c r="A10" s="11"/>
      <x:c r="B10" s="11"/>
      <x:c r="C10" s="3"/>
      <x:c r="D10" s="15"/>
      <x:c r="E10" s="16"/>
      <x:c r="F10" s="11"/>
      <x:c r="G10" s="11"/>
      <x:c r="H10" s="11"/>
      <x:c r="I10" s="8"/>
    </x:row>
    <x:row r="11" ht="28" customHeight="1">
      <x:c r="A11" s="11"/>
      <x:c r="B11" s="11"/>
      <x:c r="C11" s="3"/>
      <x:c r="D11" s="15"/>
      <x:c r="E11" s="16"/>
      <x:c r="F11" s="11"/>
      <x:c r="G11" s="11"/>
      <x:c r="H11" s="11"/>
      <x:c r="I11" s="8"/>
    </x:row>
    <x:row r="12" ht="28" customHeight="1">
      <x:c r="A12" s="12"/>
      <x:c r="B12" s="12"/>
      <x:c r="C12" s="9"/>
      <x:c r="D12" s="17"/>
      <x:c r="E12" s="18"/>
      <x:c r="F12" s="12"/>
      <x:c r="G12" s="12"/>
      <x:c r="H12" s="12"/>
      <x:c r="I12" s="10"/>
    </x:row>
    <x:row r="13" ht="30" customHeight="1">
      <x:c r="A13" s="24" t="str">
        <x:v>주문 내역 합계</x:v>
      </x:c>
      <x:c r="B13" s="24"/>
      <x:c r="C13" s="24"/>
      <x:c r="D13" s="26" t="n">
        <x:f>SUM(D2:D12)</x:f>
        <x:v>0</x:v>
      </x:c>
      <x:c r="E13" s="26" t="n">
        <x:f>SUM(E2:E12)</x:f>
        <x:v>0</x:v>
      </x:c>
      <x:c r="F13" s="24"/>
      <x:c r="G13" s="24"/>
      <x:c r="H13" s="24"/>
      <x:c r="I13" s="24"/>
    </x:row>
    <x:row r="14" ht="30" customHeight="1">
      <x:c r="A14" s="81" t="str">
        <x:v>소득세 계산</x:v>
      </x:c>
      <x:c r="B14" s="81"/>
      <x:c r="C14" s="81" t="str">
        <x:v>공구수수료 정산</x:v>
      </x:c>
      <x:c r="D14" s="82" t="str">
        <x:v>수량</x:v>
      </x:c>
      <x:c r="E14" s="82" t="str">
        <x:v>금액</x:v>
      </x:c>
      <x:c r="F14" s="81" t="str">
        <x:v>안내</x:v>
      </x:c>
      <x:c r="G14" s="81"/>
      <x:c r="H14" s="71" t="str">
        <x:v>정산 대상</x:v>
      </x:c>
      <x:c r="I14" s="76" t="str">
        <x:v>일반 개인</x:v>
      </x:c>
    </x:row>
    <x:row r="15" ht="30" customHeight="1">
      <x:c r="A15" s="32" t="str">
        <x:v>소득세 3%</x:v>
      </x:c>
      <x:c r="B15" s="33" t="str">
        <x:v>지방소득세 0.3%</x:v>
      </x:c>
      <x:c r="C15" s="3" t="str">
        <x:v>주문금액</x:v>
      </x:c>
      <x:c r="D15" s="16" t="n">
        <x:f>D13</x:f>
        <x:v>0</x:v>
      </x:c>
      <x:c r="E15" s="55" t="n">
        <x:f>E13</x:f>
        <x:v>0</x:v>
      </x:c>
      <x:c r="F15" s="63" t="str">
        <x:v>일반 개인: 소득세 3%와 지방소득세 공제.
세목별 10원 단위 버림.</x:v>
      </x:c>
      <x:c r="G15" s="64"/>
      <x:c r="H15" s="71" t="str">
        <x:v>수수료율</x:v>
      </x:c>
      <x:c r="I15" s="77" t="n">
        <x:v>0.15</x:v>
      </x:c>
    </x:row>
    <x:row r="16" ht="30" customHeight="1">
      <x:c r="A16" s="36" t="n">
        <x:f>IF($I$16=0,0,ROUNDDOWN(E18*0.03,-1))</x:f>
        <x:v>0</x:v>
      </x:c>
      <x:c r="B16" s="37" t="n">
        <x:f>IF($I$16=0,0,ROUNDDOWN(A16*0.1,-1))</x:f>
        <x:v>0</x:v>
      </x:c>
      <x:c r="C16" s="48" t="str">
        <x:v>취소건</x:v>
      </x:c>
      <x:c r="D16" s="56" t="n">
        <x:f>0</x:f>
        <x:v>0</x:v>
      </x:c>
      <x:c r="E16" s="57" t="n">
        <x:f>0</x:f>
        <x:v>0</x:v>
      </x:c>
      <x:c r="F16" s="63"/>
      <x:c r="G16" s="64"/>
      <x:c r="H16" s="71" t="str">
        <x:v>세금 공제 적용</x:v>
      </x:c>
      <x:c r="I16" s="78" t="n">
        <x:v>1</x:v>
      </x:c>
    </x:row>
    <x:row r="17" ht="30" customHeight="1">
      <x:c r="A17" s="40" t="str">
        <x:v>세목별 10원 단위 버림</x:v>
      </x:c>
      <x:c r="B17" s="40"/>
      <x:c r="C17" s="52" t="str">
        <x:v>정산 기준 매출</x:v>
      </x:c>
      <x:c r="D17" s="58" t="n">
        <x:f>D15-D16</x:f>
        <x:v>0</x:v>
      </x:c>
      <x:c r="E17" s="59" t="n">
        <x:f>E15-E16</x:f>
        <x:v>0</x:v>
      </x:c>
      <x:c r="F17" s="63"/>
      <x:c r="G17" s="64"/>
      <x:c r="H17" s="71" t="str">
        <x:v>공구명</x:v>
      </x:c>
      <x:c r="I17" s="3" t="str"/>
    </x:row>
    <x:row r="18" ht="30" customHeight="1">
      <x:c r="A18" s="3"/>
      <x:c r="B18" s="3"/>
      <x:c r="C18" s="3" t="str">
        <x:v>공구수수료</x:v>
      </x:c>
      <x:c r="D18" s="60" t="n">
        <x:f>$I$15</x:f>
        <x:v>0.15</x:v>
      </x:c>
      <x:c r="E18" s="55" t="n">
        <x:f>E17*D18</x:f>
        <x:v>0</x:v>
      </x:c>
      <x:c r="F18" s="63"/>
      <x:c r="G18" s="64"/>
      <x:c r="H18" s="71" t="str">
        <x:v>주문 기간</x:v>
      </x:c>
      <x:c r="I18" s="3" t="str"/>
    </x:row>
    <x:row r="19" ht="30" customHeight="1">
      <x:c r="A19" s="3"/>
      <x:c r="B19" s="3"/>
      <x:c r="C19" s="3" t="str">
        <x:v>소득세·지방소득세</x:v>
      </x:c>
      <x:c r="D19" s="60" t="n">
        <x:f>0.033</x:f>
        <x:v>0.033</x:v>
      </x:c>
      <x:c r="E19" s="55" t="n">
        <x:f>A16+B16</x:f>
        <x:v>0</x:v>
      </x:c>
      <x:c r="F19" s="63"/>
      <x:c r="G19" s="64"/>
      <x:c r="H19" s="71"/>
      <x:c r="I19" s="3"/>
    </x:row>
    <x:row r="20" ht="34" customHeight="1">
      <x:c r="A20" s="3"/>
      <x:c r="B20" s="3"/>
      <x:c r="C20" s="89" t="str">
        <x:v>최종 지급액</x:v>
      </x:c>
      <x:c r="D20" s="90" t="n">
        <x:f>D17</x:f>
        <x:v>0</x:v>
      </x:c>
      <x:c r="E20" s="91" t="n">
        <x:f>E18-E19</x:f>
        <x:v>0</x:v>
      </x:c>
      <x:c r="F20" s="65"/>
      <x:c r="G20" s="66"/>
      <x:c r="H20" s="72" t="str">
        <x:v>불러온 파일</x:v>
      </x:c>
      <x:c r="I20" s="9" t="str"/>
    </x:row>
    <x:row r="21">
      <x:c r="I21" s="95" t="str">
        <x:v>disabled-style</x:v>
      </x:c>
    </x:row>
    <x:row r="22">
      <x:c r="I22" s="97" t="n">
        <x:v>1.25</x:v>
      </x:c>
    </x:row>
    <x:row r="23">
      <x:c r="I23" s="101" t="n">
        <x:v>1.25</x:v>
      </x:c>
    </x:row>
  </x:sheetData>
  <x:mergeCells>
    <x:mergeCell ref="A13:C13"/>
    <x:mergeCell ref="A14:B14"/>
    <x:mergeCell ref="A17:B17"/>
    <x:mergeCell ref="F14:G14"/>
    <x:mergeCell ref="F15:G20"/>
  </x:mergeCells>
  <x:conditionalFormatting sqref="A2:I12">
    <x:cfRule type="expression" dxfId="0" priority="1">
      <x:formula>OR($H2="취소",$H2="입금대기",$H2="반품완료",$H2="반품완료 - 환불완료")</x:formula>
    </x:cfRule>
  </x:conditionalFormatting>
  <x:pageMargins left="0.7" right="0.7" top="0.75" bottom="0.75" header="0.3" footer="0.3"/>
</x:worksheet>
</file>