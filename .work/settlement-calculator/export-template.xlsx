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9f7eebeb14f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달용_개인" sheetId="1" r:id="Rd7a0cb4eef7541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0%"/>
    <x:numFmt numFmtId="203" formatCode="[=0]&quot;미적용&quot;;[=1]&quot;적용&quot;;General"/>
    <x:numFmt numFmtId="204" formatCode="#,##0.00"/>
  </x:numFmts>
  <x:fonts count="8">
    <x:font>
      <x:sz val="11"/>
      <x:name val="Carlito"/>
    </x:font>
    <x:font>
      <x:sz val="11"/>
      <x:color rgb="FF243044"/>
      <x:name val="Arial"/>
    </x:font>
    <x:font>
      <x:b/>
      <x:sz val="11"/>
      <x:color rgb="FF193653"/>
      <x:name val="Arial"/>
    </x:font>
    <x:font>
      <x:sz val="10"/>
      <x:color rgb="FF526175"/>
      <x:name val="Arial"/>
    </x:font>
    <x:font>
      <x:sz val="11"/>
      <x:color rgb="FF526175"/>
      <x:name val="Arial"/>
    </x:font>
    <x:font>
      <x:sz val="11"/>
      <x:color rgb="FF1D4ED8"/>
      <x:name val="Arial"/>
    </x:font>
    <x:font>
      <x:b/>
      <x:sz val="12"/>
      <x:color rgb="FF193653"/>
      <x:name val="Arial"/>
    </x:font>
    <x:font>
      <x:sz val="11"/>
      <x:color rgb="FF6B728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AF0F8"/>
      </x:patternFill>
    </x:fill>
    <x:fill>
      <x:patternFill patternType="solid">
        <x:fgColor rgb="FFFFF4D4"/>
      </x:patternFill>
    </x:fill>
    <x:fill>
      <x:patternFill patternType="solid">
        <x:fgColor rgb="FFE8F1FF"/>
      </x:patternFill>
    </x:fill>
    <x:fill>
      <x:patternFill patternType="solid">
        <x:fgColor rgb="FFE5E7E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E1E7EF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2" fontId="5" fillId="3" borderId="0" xfId="0" applyNumberFormat="1" applyFont="1" applyFill="1" applyBorder="1" applyAlignment="1">
      <x:alignment vertical="center" wrapText="1"/>
    </x:xf>
    <x:xf numFmtId="203" fontId="5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b0419527f4950" /><Relationship Type="http://schemas.openxmlformats.org/officeDocument/2006/relationships/theme" Target="/xl/theme/theme1.xml" Id="R7732b628352c4db5" /><Relationship Type="http://schemas.openxmlformats.org/officeDocument/2006/relationships/sharedStrings" Target="/xl/sharedStrings.xml" Id="R6078b48e76084023" /><Relationship Type="http://schemas.openxmlformats.org/officeDocument/2006/relationships/worksheet" Target="/xl/worksheets/sheet1.xml" Id="Rd7a0cb4eef7541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33" hidden="0" customWidth="1"/>
    <x:col min="4" max="4" width="12" hidden="0" customWidth="1"/>
    <x:col min="5" max="5" width="20" hidden="0" customWidth="1"/>
    <x:col min="6" max="6" width="16" hidden="0" customWidth="1"/>
    <x:col min="7" max="7" width="21" hidden="0" customWidth="1"/>
    <x:col min="8" max="8" width="27" hidden="0" customWidth="1"/>
    <x:col min="9" max="9" width="22" hidden="0" customWidth="1"/>
    <x:col min="10" max="10" width="30" hidden="0" customWidth="1"/>
  </x:cols>
  <x:sheetData>
    <x:row r="1" ht="30" customHeight="1">
      <x:c r="A1" s="4" t="str">
        <x:v>번호</x:v>
      </x:c>
      <x:c r="B1" s="4" t="str">
        <x:v>주문일자</x:v>
      </x:c>
      <x:c r="C1" s="4" t="str">
        <x:v>상품명</x:v>
      </x:c>
      <x:c r="D1" s="4" t="str">
        <x:v>수량</x:v>
      </x:c>
      <x:c r="E1" s="4" t="str">
        <x:v>판매가</x:v>
      </x:c>
      <x:c r="F1" s="4" t="str">
        <x:v>쿠폰금액</x:v>
      </x:c>
      <x:c r="G1" s="4" t="str">
        <x:v>구매자</x:v>
      </x:c>
      <x:c r="H1" s="4" t="str">
        <x:v>주문번호</x:v>
      </x:c>
      <x:c r="I1" s="4" t="str">
        <x:v>처리현황</x:v>
      </x:c>
      <x:c r="J1" s="4" t="str">
        <x:v>택배사/송장번호</x:v>
      </x:c>
    </x:row>
    <x:row r="2" ht="58" customHeight="1">
      <x:c r="A2" s="2"/>
      <x:c r="B2" s="2"/>
      <x:c r="C2" s="6"/>
      <x:c r="D2" s="8"/>
      <x:c r="E2" s="8"/>
      <x:c r="F2" s="8"/>
      <x:c r="G2" s="2"/>
      <x:c r="H2" s="2"/>
      <x:c r="I2" s="2"/>
      <x:c r="J2" s="2"/>
    </x:row>
    <x:row r="3" ht="58" customHeight="1">
      <x:c r="A3" s="2"/>
      <x:c r="B3" s="2"/>
      <x:c r="C3" s="6"/>
      <x:c r="D3" s="8"/>
      <x:c r="E3" s="8"/>
      <x:c r="F3" s="8"/>
      <x:c r="G3" s="2"/>
      <x:c r="H3" s="2"/>
      <x:c r="I3" s="2"/>
      <x:c r="J3" s="2"/>
    </x:row>
    <x:row r="4" ht="58" customHeight="1">
      <x:c r="A4" s="2"/>
      <x:c r="B4" s="2"/>
      <x:c r="C4" s="6"/>
      <x:c r="D4" s="8"/>
      <x:c r="E4" s="8"/>
      <x:c r="F4" s="8"/>
      <x:c r="G4" s="2"/>
      <x:c r="H4" s="2"/>
      <x:c r="I4" s="2"/>
      <x:c r="J4" s="2"/>
    </x:row>
    <x:row r="5" ht="58" customHeight="1">
      <x:c r="A5" s="2"/>
      <x:c r="B5" s="2"/>
      <x:c r="C5" s="6"/>
      <x:c r="D5" s="8"/>
      <x:c r="E5" s="8"/>
      <x:c r="F5" s="8"/>
      <x:c r="G5" s="2"/>
      <x:c r="H5" s="2"/>
      <x:c r="I5" s="2"/>
      <x:c r="J5" s="2"/>
    </x:row>
    <x:row r="6" ht="58" customHeight="1">
      <x:c r="A6" s="2"/>
      <x:c r="B6" s="2"/>
      <x:c r="C6" s="6"/>
      <x:c r="D6" s="8"/>
      <x:c r="E6" s="8"/>
      <x:c r="F6" s="8"/>
      <x:c r="G6" s="2"/>
      <x:c r="H6" s="2"/>
      <x:c r="I6" s="2"/>
      <x:c r="J6" s="2"/>
    </x:row>
    <x:row r="7" ht="58" customHeight="1">
      <x:c r="A7" s="2"/>
      <x:c r="B7" s="2"/>
      <x:c r="C7" s="6"/>
      <x:c r="D7" s="8"/>
      <x:c r="E7" s="8"/>
      <x:c r="F7" s="8"/>
      <x:c r="G7" s="2"/>
      <x:c r="H7" s="2"/>
      <x:c r="I7" s="2"/>
      <x:c r="J7" s="2"/>
    </x:row>
    <x:row r="8" ht="58" customHeight="1">
      <x:c r="A8" s="2"/>
      <x:c r="B8" s="2"/>
      <x:c r="C8" s="6"/>
      <x:c r="D8" s="8"/>
      <x:c r="E8" s="8"/>
      <x:c r="F8" s="8"/>
      <x:c r="G8" s="2"/>
      <x:c r="H8" s="2"/>
      <x:c r="I8" s="2"/>
      <x:c r="J8" s="2"/>
    </x:row>
    <x:row r="9" ht="58" customHeight="1">
      <x:c r="A9" s="2"/>
      <x:c r="B9" s="2"/>
      <x:c r="C9" s="6"/>
      <x:c r="D9" s="8"/>
      <x:c r="E9" s="8"/>
      <x:c r="F9" s="8"/>
      <x:c r="G9" s="2"/>
      <x:c r="H9" s="2"/>
      <x:c r="I9" s="2"/>
      <x:c r="J9" s="2"/>
    </x:row>
    <x:row r="10" ht="58" customHeight="1">
      <x:c r="A10" s="2"/>
      <x:c r="B10" s="2"/>
      <x:c r="C10" s="6"/>
      <x:c r="D10" s="8"/>
      <x:c r="E10" s="8"/>
      <x:c r="F10" s="8"/>
      <x:c r="G10" s="2"/>
      <x:c r="H10" s="2"/>
      <x:c r="I10" s="2"/>
      <x:c r="J10" s="2"/>
    </x:row>
    <x:row r="11" ht="58" customHeight="1">
      <x:c r="A11" s="2"/>
      <x:c r="B11" s="2"/>
      <x:c r="C11" s="6"/>
      <x:c r="D11" s="8"/>
      <x:c r="E11" s="8"/>
      <x:c r="F11" s="8"/>
      <x:c r="G11" s="2"/>
      <x:c r="H11" s="2"/>
      <x:c r="I11" s="2"/>
      <x:c r="J11" s="2"/>
    </x:row>
    <x:row r="12" ht="58" customHeight="1">
      <x:c r="A12" s="5"/>
      <x:c r="B12" s="5"/>
      <x:c r="C12" s="7"/>
      <x:c r="D12" s="9"/>
      <x:c r="E12" s="9"/>
      <x:c r="F12" s="9"/>
      <x:c r="G12" s="5"/>
      <x:c r="H12" s="5"/>
      <x:c r="I12" s="5"/>
      <x:c r="J12" s="5"/>
    </x:row>
    <x:row r="13" ht="32" customHeight="1">
      <x:c r="A13" s="4" t="str">
        <x:v>주문 내역 합계</x:v>
      </x:c>
      <x:c r="B13" s="4"/>
      <x:c r="C13" s="4"/>
      <x:c r="D13" s="11" t="n">
        <x:f>SUM(D2:D12)</x:f>
        <x:v>0</x:v>
      </x:c>
      <x:c r="E13" s="11" t="n">
        <x:f>SUM(E2:E12)</x:f>
        <x:v>0</x:v>
      </x:c>
      <x:c r="F13" s="11" t="n">
        <x:f>SUM(F2:F12)</x:f>
        <x:v>0</x:v>
      </x:c>
      <x:c r="G13" s="4"/>
      <x:c r="H13" s="4"/>
      <x:c r="I13" s="4"/>
      <x:c r="J13" s="4"/>
    </x:row>
    <x:row r="14" ht="30" customHeight="1">
      <x:c r="A14" s="4" t="str">
        <x:v>소득세 계산</x:v>
      </x:c>
      <x:c r="B14" s="4"/>
      <x:c r="C14" s="4" t="str">
        <x:v>공구수수료 정산</x:v>
      </x:c>
      <x:c r="D14" s="11" t="str">
        <x:v>수량</x:v>
      </x:c>
      <x:c r="E14" s="11" t="str">
        <x:v>금액</x:v>
      </x:c>
      <x:c r="F14" s="11"/>
      <x:c r="G14" s="4"/>
      <x:c r="H14" s="6" t="str">
        <x:v>정산 대상</x:v>
      </x:c>
      <x:c r="I14" s="25" t="str">
        <x:v>일반 개인</x:v>
      </x:c>
      <x:c r="J14" s="25"/>
    </x:row>
    <x:row r="15" ht="30" customHeight="1">
      <x:c r="A15" s="2" t="str">
        <x:v>소득세 3%</x:v>
      </x:c>
      <x:c r="B15" s="2" t="str">
        <x:v>지방소득세</x:v>
      </x:c>
      <x:c r="C15" s="2" t="str">
        <x:v>주문금액</x:v>
      </x:c>
      <x:c r="D15" s="8" t="n">
        <x:f>D13</x:f>
        <x:v>0</x:v>
      </x:c>
      <x:c r="E15" s="8" t="n">
        <x:f>E13</x:f>
        <x:v>0</x:v>
      </x:c>
      <x:c r="F15" s="16" t="str">
        <x:v>일반 개인: 소득세 3%와 지방소득세를 공제합니다.
세목별 10원 단위 버림.
쿠폰은 별도로 차감하지 않습니다.</x:v>
      </x:c>
      <x:c r="G15" s="17"/>
      <x:c r="H15" s="6" t="str">
        <x:v>수수료율</x:v>
      </x:c>
      <x:c r="I15" s="26" t="n">
        <x:v>0.15</x:v>
      </x:c>
      <x:c r="J15" s="25"/>
    </x:row>
    <x:row r="16" ht="30" customHeight="1">
      <x:c r="A16" s="8" t="n">
        <x:f>IF($I$16=0,0,ROUNDDOWN(E18*0.03,-1))</x:f>
        <x:v>0</x:v>
      </x:c>
      <x:c r="B16" s="8" t="n">
        <x:f>IF($I$16=0,0,ROUNDDOWN(A16*0.1,-1))</x:f>
        <x:v>0</x:v>
      </x:c>
      <x:c r="C16" s="2" t="str">
        <x:v>취소·환불금액</x:v>
      </x:c>
      <x:c r="D16" s="8" t="n">
        <x:f>0</x:f>
        <x:v>0</x:v>
      </x:c>
      <x:c r="E16" s="8" t="n">
        <x:f>0</x:f>
        <x:v>0</x:v>
      </x:c>
      <x:c r="F16" s="16"/>
      <x:c r="G16" s="17"/>
      <x:c r="H16" s="6" t="str">
        <x:v>세금 공제 적용</x:v>
      </x:c>
      <x:c r="I16" s="27" t="n">
        <x:v>1</x:v>
      </x:c>
      <x:c r="J16" s="25"/>
    </x:row>
    <x:row r="17" ht="30" customHeight="1">
      <x:c r="A17" s="12" t="str">
        <x:v>세목별 10원 단위 버림</x:v>
      </x:c>
      <x:c r="B17" s="12"/>
      <x:c r="C17" s="2" t="str">
        <x:v>매출금액</x:v>
      </x:c>
      <x:c r="D17" s="8" t="n">
        <x:f>D15-D16</x:f>
        <x:v>0</x:v>
      </x:c>
      <x:c r="E17" s="8" t="n">
        <x:f>E15-E16</x:f>
        <x:v>0</x:v>
      </x:c>
      <x:c r="F17" s="16"/>
      <x:c r="G17" s="17"/>
      <x:c r="H17" s="6" t="str">
        <x:v>공구명</x:v>
      </x:c>
      <x:c r="I17" s="6" t="str"/>
      <x:c r="J17" s="6"/>
    </x:row>
    <x:row r="18" ht="30" customHeight="1">
      <x:c r="A18" s="2"/>
      <x:c r="B18" s="2"/>
      <x:c r="C18" s="2" t="str">
        <x:v>공구수수료</x:v>
      </x:c>
      <x:c r="D18" s="13" t="n">
        <x:f>$I$15</x:f>
        <x:v>0.15</x:v>
      </x:c>
      <x:c r="E18" s="8" t="n">
        <x:f>E17*D18</x:f>
        <x:v>0</x:v>
      </x:c>
      <x:c r="F18" s="16"/>
      <x:c r="G18" s="17"/>
      <x:c r="H18" s="6" t="str">
        <x:v>주문 기간</x:v>
      </x:c>
      <x:c r="I18" s="6" t="str"/>
      <x:c r="J18" s="6"/>
    </x:row>
    <x:row r="19" ht="30" customHeight="1">
      <x:c r="A19" s="2"/>
      <x:c r="B19" s="2"/>
      <x:c r="C19" s="2" t="str">
        <x:v>소득세·지방소득세</x:v>
      </x:c>
      <x:c r="D19" s="13" t="n">
        <x:f>0.033</x:f>
        <x:v>0.033</x:v>
      </x:c>
      <x:c r="E19" s="8" t="n">
        <x:f>A16+B16</x:f>
        <x:v>0</x:v>
      </x:c>
      <x:c r="F19" s="16"/>
      <x:c r="G19" s="17"/>
      <x:c r="H19" s="6" t="str">
        <x:v>쿠폰 차감</x:v>
      </x:c>
      <x:c r="I19" s="6" t="str">
        <x:v>별도 차감 안 함</x:v>
      </x:c>
      <x:c r="J19" s="6"/>
    </x:row>
    <x:row r="20" ht="34" customHeight="1">
      <x:c r="A20" s="2"/>
      <x:c r="B20" s="2"/>
      <x:c r="C20" s="30" t="str">
        <x:v>최종 지급액</x:v>
      </x:c>
      <x:c r="D20" s="31" t="n">
        <x:f>D17</x:f>
        <x:v>0</x:v>
      </x:c>
      <x:c r="E20" s="31" t="n">
        <x:f>E18-E19</x:f>
        <x:v>0</x:v>
      </x:c>
      <x:c r="F20" s="16"/>
      <x:c r="G20" s="17"/>
      <x:c r="H20" s="6" t="str">
        <x:v>불러온 파일</x:v>
      </x:c>
      <x:c r="I20" s="6" t="str"/>
      <x:c r="J20" s="6"/>
    </x:row>
    <x:row r="21">
      <x:c r="I21" s="34" t="str">
        <x:v>disabled-style</x:v>
      </x:c>
      <x:c r="J21" s="34"/>
    </x:row>
    <x:row r="22">
      <x:c r="I22" s="35" t="n">
        <x:v>1.25</x:v>
      </x:c>
    </x:row>
  </x:sheetData>
  <x:mergeCells>
    <x:mergeCell ref="A13:C13"/>
    <x:mergeCell ref="A14:B14"/>
    <x:mergeCell ref="A17:B17"/>
    <x:mergeCell ref="F15:G20"/>
    <x:mergeCell ref="I14:J14"/>
    <x:mergeCell ref="I15:J15"/>
    <x:mergeCell ref="I16:J16"/>
    <x:mergeCell ref="I17:J17"/>
    <x:mergeCell ref="I18:J18"/>
    <x:mergeCell ref="I19:J19"/>
    <x:mergeCell ref="I20:J20"/>
  </x:mergeCells>
  <x:pageMargins left="0.7" right="0.7" top="0.75" bottom="0.75" header="0.3" footer="0.3"/>
</x:worksheet>
</file>